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06f6f2b987f9613/"/>
    </mc:Choice>
  </mc:AlternateContent>
  <xr:revisionPtr revIDLastSave="2" documentId="8_{9CD89C81-40C9-430C-A9B1-BAD49B623C64}" xr6:coauthVersionLast="47" xr6:coauthVersionMax="47" xr10:uidLastSave="{0D00596E-4306-4431-8A38-DDAC7B2C0417}"/>
  <bookViews>
    <workbookView xWindow="-108" yWindow="-108" windowWidth="23256" windowHeight="12456" firstSheet="1" activeTab="4" xr2:uid="{B373E3B4-8F6E-45AB-AF45-540AC71B5A99}"/>
  </bookViews>
  <sheets>
    <sheet name="Revenue by Product" sheetId="2" r:id="rId1"/>
    <sheet name="Revenue by City" sheetId="3" r:id="rId2"/>
    <sheet name="Revenue by Category" sheetId="4" r:id="rId3"/>
    <sheet name="Revenue by Date" sheetId="5" r:id="rId4"/>
    <sheet name="Dataset" sheetId="1" r:id="rId5"/>
  </sheets>
  <calcPr calcId="191029"/>
  <pivotCaches>
    <pivotCache cacheId="9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0" i="2" l="1"/>
  <c r="B11" i="3"/>
  <c r="B10" i="4"/>
  <c r="B12" i="5"/>
  <c r="J3" i="1"/>
  <c r="J4" i="1"/>
  <c r="J5" i="1"/>
  <c r="J6" i="1"/>
  <c r="J7" i="1"/>
  <c r="J8" i="1"/>
  <c r="J9" i="1"/>
  <c r="J10" i="1"/>
  <c r="J11" i="1"/>
  <c r="J2" i="1"/>
</calcChain>
</file>

<file path=xl/sharedStrings.xml><?xml version="1.0" encoding="utf-8"?>
<sst xmlns="http://schemas.openxmlformats.org/spreadsheetml/2006/main" count="88" uniqueCount="36">
  <si>
    <t>OrderID</t>
  </si>
  <si>
    <t>OrderDate</t>
  </si>
  <si>
    <t>Customer</t>
  </si>
  <si>
    <t>City</t>
  </si>
  <si>
    <t>Product</t>
  </si>
  <si>
    <t>Category</t>
  </si>
  <si>
    <t>Quantity</t>
  </si>
  <si>
    <t>UnitPrice</t>
  </si>
  <si>
    <t>PaymentMethod</t>
  </si>
  <si>
    <t>Rahul</t>
  </si>
  <si>
    <t>Delhi</t>
  </si>
  <si>
    <t>Laptop</t>
  </si>
  <si>
    <t>Computers</t>
  </si>
  <si>
    <t>Card</t>
  </si>
  <si>
    <t>Neha</t>
  </si>
  <si>
    <t>Mumbai</t>
  </si>
  <si>
    <t>Smartphone</t>
  </si>
  <si>
    <t>Mobile</t>
  </si>
  <si>
    <t>UPI</t>
  </si>
  <si>
    <t>Amit</t>
  </si>
  <si>
    <t>Bangalore</t>
  </si>
  <si>
    <t>Headphones</t>
  </si>
  <si>
    <t>Accessories</t>
  </si>
  <si>
    <t>Cash</t>
  </si>
  <si>
    <t>Priya</t>
  </si>
  <si>
    <t>Tablet</t>
  </si>
  <si>
    <t>Karan</t>
  </si>
  <si>
    <t>Hyderabad</t>
  </si>
  <si>
    <t>Smartwatch</t>
  </si>
  <si>
    <t>Revenue</t>
  </si>
  <si>
    <t>Grand Total</t>
  </si>
  <si>
    <t>Sum of Revenue</t>
  </si>
  <si>
    <t>Product with Highest Revenue</t>
  </si>
  <si>
    <t>City which has highest revenue</t>
  </si>
  <si>
    <t>Category which has highest sales</t>
  </si>
  <si>
    <t>Date which had the highest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</si>
</sst>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pivotButton="1" applyAlignment="1">
      <alignment horizontal="center"/>
    </xf>
    <xf numFmtId="0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4" fontId="1" fillId="0" borderId="0" xfId="0" applyNumberFormat="1" applyFont="1" applyAlignment="1">
      <alignment horizontal="center" vertical="center"/>
    </xf>
    <xf numFmtId="14" fontId="1" fillId="0" borderId="0" xfId="0" applyNumberFormat="1" applyFont="1" applyAlignment="1">
      <alignment horizontal="center"/>
    </xf>
  </cellXfs>
  <cellStyles count="1">
    <cellStyle name="Normal" xfId="0" builtinId="0"/>
  </cellStyles>
  <dxfs count="27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[TASK 6.xlsx]Revenue by Product!PivotTable1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noFill/>
          <a:ln w="9525" cap="flat" cmpd="sng" algn="ctr">
            <a:solidFill>
              <a:schemeClr val="accent2"/>
            </a:solidFill>
            <a:miter lim="800000"/>
          </a:ln>
          <a:effectLst>
            <a:glow rad="63500">
              <a:schemeClr val="accent2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'Revenue by Product'!$B$1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'Revenue by Product'!$A$2:$A$7</c:f>
              <c:strCache>
                <c:ptCount val="5"/>
                <c:pt idx="0">
                  <c:v>Headphones</c:v>
                </c:pt>
                <c:pt idx="1">
                  <c:v>Smartwatch</c:v>
                </c:pt>
                <c:pt idx="2">
                  <c:v>Tablet</c:v>
                </c:pt>
                <c:pt idx="3">
                  <c:v>Smartphone</c:v>
                </c:pt>
                <c:pt idx="4">
                  <c:v>Laptop</c:v>
                </c:pt>
              </c:strCache>
            </c:strRef>
          </c:cat>
          <c:val>
            <c:numRef>
              <c:f>'Revenue by Product'!$B$2:$B$7</c:f>
              <c:numCache>
                <c:formatCode>General</c:formatCode>
                <c:ptCount val="5"/>
                <c:pt idx="0">
                  <c:v>10400</c:v>
                </c:pt>
                <c:pt idx="1">
                  <c:v>16000</c:v>
                </c:pt>
                <c:pt idx="2">
                  <c:v>49000</c:v>
                </c:pt>
                <c:pt idx="3">
                  <c:v>92000</c:v>
                </c:pt>
                <c:pt idx="4">
                  <c:v>203000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FE-40EB-AEAC-769F255569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-50"/>
        <c:axId val="801008960"/>
        <c:axId val="801009440"/>
      </c:barChart>
      <c:catAx>
        <c:axId val="80100896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1009440"/>
        <c:crosses val="autoZero"/>
        <c:auto val="1"/>
        <c:lblAlgn val="ctr"/>
        <c:lblOffset val="100"/>
        <c:noMultiLvlLbl val="0"/>
      </c:catAx>
      <c:valAx>
        <c:axId val="80100944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1008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6.xlsx]Revenue by City!PivotTable2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'Revenue by City'!$B$3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'Revenue by City'!$A$4:$A$8</c:f>
              <c:strCache>
                <c:ptCount val="4"/>
                <c:pt idx="0">
                  <c:v>Delhi</c:v>
                </c:pt>
                <c:pt idx="1">
                  <c:v>Mumbai</c:v>
                </c:pt>
                <c:pt idx="2">
                  <c:v>Hyderabad</c:v>
                </c:pt>
                <c:pt idx="3">
                  <c:v>Bangalore</c:v>
                </c:pt>
              </c:strCache>
            </c:strRef>
          </c:cat>
          <c:val>
            <c:numRef>
              <c:f>'Revenue by City'!$B$4:$B$8</c:f>
              <c:numCache>
                <c:formatCode>General</c:formatCode>
                <c:ptCount val="4"/>
                <c:pt idx="0">
                  <c:v>158000</c:v>
                </c:pt>
                <c:pt idx="1">
                  <c:v>100000</c:v>
                </c:pt>
                <c:pt idx="2">
                  <c:v>74400</c:v>
                </c:pt>
                <c:pt idx="3">
                  <c:v>38000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35-45FE-BC46-FF3EAFC9C0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905114704"/>
        <c:axId val="905104624"/>
      </c:barChart>
      <c:catAx>
        <c:axId val="905114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104624"/>
        <c:crosses val="autoZero"/>
        <c:auto val="1"/>
        <c:lblAlgn val="ctr"/>
        <c:lblOffset val="100"/>
        <c:noMultiLvlLbl val="0"/>
      </c:catAx>
      <c:valAx>
        <c:axId val="905104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114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6.xlsx]Revenue by Category!PivotTable3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'Revenue by Category'!$B$3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'Revenue by Category'!$A$4:$A$7</c:f>
              <c:strCache>
                <c:ptCount val="3"/>
                <c:pt idx="0">
                  <c:v>Computers</c:v>
                </c:pt>
                <c:pt idx="1">
                  <c:v>Mobile</c:v>
                </c:pt>
                <c:pt idx="2">
                  <c:v>Accessories</c:v>
                </c:pt>
              </c:strCache>
            </c:strRef>
          </c:cat>
          <c:val>
            <c:numRef>
              <c:f>'Revenue by Category'!$B$4:$B$7</c:f>
              <c:numCache>
                <c:formatCode>General</c:formatCode>
                <c:ptCount val="3"/>
                <c:pt idx="0">
                  <c:v>203000</c:v>
                </c:pt>
                <c:pt idx="1">
                  <c:v>141000</c:v>
                </c:pt>
                <c:pt idx="2">
                  <c:v>26400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AD-4467-904B-3A50DFD51619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6.xlsx]Revenue by Date!PivotTable4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Date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'Revenue by Date'!$B$3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'Revenue by Date'!$A$4:$A$9</c:f>
              <c:strCache>
                <c:ptCount val="5"/>
                <c:pt idx="0">
                  <c:v>20-02-2026</c:v>
                </c:pt>
                <c:pt idx="1">
                  <c:v>21-02-2026</c:v>
                </c:pt>
                <c:pt idx="2">
                  <c:v>22-02-2026</c:v>
                </c:pt>
                <c:pt idx="3">
                  <c:v>23-02-2026</c:v>
                </c:pt>
                <c:pt idx="4">
                  <c:v>24-02-2026</c:v>
                </c:pt>
              </c:strCache>
            </c:strRef>
          </c:cat>
          <c:val>
            <c:numRef>
              <c:f>'Revenue by Date'!$B$4:$B$9</c:f>
              <c:numCache>
                <c:formatCode>General</c:formatCode>
                <c:ptCount val="5"/>
                <c:pt idx="0">
                  <c:v>125000</c:v>
                </c:pt>
                <c:pt idx="1">
                  <c:v>31000</c:v>
                </c:pt>
                <c:pt idx="2">
                  <c:v>86000</c:v>
                </c:pt>
                <c:pt idx="3">
                  <c:v>36400</c:v>
                </c:pt>
                <c:pt idx="4">
                  <c:v>92000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E8-479A-9758-3C50D961F9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05129104"/>
        <c:axId val="905130544"/>
      </c:lineChart>
      <c:catAx>
        <c:axId val="90512910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130544"/>
        <c:crosses val="autoZero"/>
        <c:auto val="1"/>
        <c:lblAlgn val="ctr"/>
        <c:lblOffset val="100"/>
        <c:noMultiLvlLbl val="0"/>
      </c:catAx>
      <c:valAx>
        <c:axId val="90513054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129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9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dk1">
                <a:lumMod val="65000"/>
                <a:lumOff val="35000"/>
              </a:schemeClr>
            </a:gs>
            <a:gs pos="100000">
              <a:schemeClr val="dk1">
                <a:lumMod val="75000"/>
                <a:lumOff val="25000"/>
              </a:schemeClr>
            </a:gs>
          </a:gsLst>
          <a:lin ang="10800000" scaled="0"/>
        </a:gradFill>
        <a:round/>
      </a:ln>
      <a:effectLst/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121920</xdr:colOff>
      <xdr:row>1</xdr:row>
      <xdr:rowOff>0</xdr:rowOff>
    </xdr:from>
    <xdr:to>
      <xdr:col>12</xdr:col>
      <xdr:colOff>510540</xdr:colOff>
      <xdr:row>23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0322C9-8308-A4AC-1E2A-CE9FB3FD2A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91440</xdr:colOff>
      <xdr:row>2</xdr:row>
      <xdr:rowOff>26670</xdr:rowOff>
    </xdr:from>
    <xdr:to>
      <xdr:col>13</xdr:col>
      <xdr:colOff>60960</xdr:colOff>
      <xdr:row>23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44AB29-7C01-EFF7-9B5C-CA371AB79C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243840</xdr:colOff>
      <xdr:row>3</xdr:row>
      <xdr:rowOff>49530</xdr:rowOff>
    </xdr:from>
    <xdr:to>
      <xdr:col>10</xdr:col>
      <xdr:colOff>548640</xdr:colOff>
      <xdr:row>18</xdr:row>
      <xdr:rowOff>49530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1A8E94B-60BE-01D0-BA52-BA2316F53B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518160</xdr:colOff>
      <xdr:row>1</xdr:row>
      <xdr:rowOff>118110</xdr:rowOff>
    </xdr:from>
    <xdr:to>
      <xdr:col>13</xdr:col>
      <xdr:colOff>472440</xdr:colOff>
      <xdr:row>25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16804A-64F3-14C0-8476-634F150362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102.597641435183" createdVersion="8" refreshedVersion="8" minRefreshableVersion="3" recordCount="10" xr:uid="{7D0C95EA-487A-451A-9A7A-5F1B9C4130A0}">
  <cacheSource type="worksheet">
    <worksheetSource ref="A1:J11" sheet="Dataset"/>
  </cacheSource>
  <cacheFields count="10">
    <cacheField name="OrderID" numFmtId="0">
      <sharedItems containsSemiMixedTypes="0" containsString="0" containsNumber="1" containsInteger="1" minValue="4001" maxValue="4010"/>
    </cacheField>
    <cacheField name="OrderDate" numFmtId="14">
      <sharedItems containsSemiMixedTypes="0" containsNonDate="0" containsDate="1" containsString="0" minDate="2026-02-20T00:00:00" maxDate="2026-02-25T00:00:00" count="5">
        <d v="2026-02-20T00:00:00"/>
        <d v="2026-02-21T00:00:00"/>
        <d v="2026-02-22T00:00:00"/>
        <d v="2026-02-23T00:00:00"/>
        <d v="2026-02-24T00:00:00"/>
      </sharedItems>
    </cacheField>
    <cacheField name="Customer" numFmtId="0">
      <sharedItems/>
    </cacheField>
    <cacheField name="City" numFmtId="0">
      <sharedItems count="4">
        <s v="Delhi"/>
        <s v="Mumbai"/>
        <s v="Bangalore"/>
        <s v="Hyderabad"/>
      </sharedItems>
    </cacheField>
    <cacheField name="Product" numFmtId="0">
      <sharedItems count="5">
        <s v="Laptop"/>
        <s v="Smartphone"/>
        <s v="Headphones"/>
        <s v="Tablet"/>
        <s v="Smartwatch"/>
      </sharedItems>
    </cacheField>
    <cacheField name="Category" numFmtId="0">
      <sharedItems count="3">
        <s v="Computers"/>
        <s v="Mobile"/>
        <s v="Accessories"/>
      </sharedItems>
    </cacheField>
    <cacheField name="Quantity" numFmtId="0">
      <sharedItems containsSemiMixedTypes="0" containsString="0" containsNumber="1" containsInteger="1" minValue="1" maxValue="3"/>
    </cacheField>
    <cacheField name="UnitPrice" numFmtId="0">
      <sharedItems containsSemiMixedTypes="0" containsString="0" containsNumber="1" containsInteger="1" minValue="2000" maxValue="70000"/>
    </cacheField>
    <cacheField name="PaymentMethod" numFmtId="0">
      <sharedItems/>
    </cacheField>
    <cacheField name="Revenue" numFmtId="0">
      <sharedItems containsSemiMixedTypes="0" containsString="0" containsNumber="1" containsInteger="1" minValue="4400" maxValue="7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n v="4001"/>
    <x v="0"/>
    <s v="Rahul"/>
    <x v="0"/>
    <x v="0"/>
    <x v="0"/>
    <n v="1"/>
    <n v="65000"/>
    <s v="Card"/>
    <n v="65000"/>
  </r>
  <r>
    <n v="4002"/>
    <x v="0"/>
    <s v="Neha"/>
    <x v="1"/>
    <x v="1"/>
    <x v="1"/>
    <n v="2"/>
    <n v="30000"/>
    <s v="UPI"/>
    <n v="60000"/>
  </r>
  <r>
    <n v="4003"/>
    <x v="1"/>
    <s v="Amit"/>
    <x v="2"/>
    <x v="2"/>
    <x v="2"/>
    <n v="3"/>
    <n v="2000"/>
    <s v="Cash"/>
    <n v="6000"/>
  </r>
  <r>
    <n v="4004"/>
    <x v="1"/>
    <s v="Priya"/>
    <x v="0"/>
    <x v="3"/>
    <x v="1"/>
    <n v="1"/>
    <n v="25000"/>
    <s v="Card"/>
    <n v="25000"/>
  </r>
  <r>
    <n v="4005"/>
    <x v="2"/>
    <s v="Karan"/>
    <x v="3"/>
    <x v="0"/>
    <x v="0"/>
    <n v="1"/>
    <n v="70000"/>
    <s v="UPI"/>
    <n v="70000"/>
  </r>
  <r>
    <n v="4006"/>
    <x v="2"/>
    <s v="Neha"/>
    <x v="1"/>
    <x v="4"/>
    <x v="2"/>
    <n v="2"/>
    <n v="8000"/>
    <s v="Card"/>
    <n v="16000"/>
  </r>
  <r>
    <n v="4007"/>
    <x v="3"/>
    <s v="Rahul"/>
    <x v="2"/>
    <x v="1"/>
    <x v="1"/>
    <n v="1"/>
    <n v="32000"/>
    <s v="UPI"/>
    <n v="32000"/>
  </r>
  <r>
    <n v="4008"/>
    <x v="3"/>
    <s v="Priya"/>
    <x v="3"/>
    <x v="2"/>
    <x v="2"/>
    <n v="2"/>
    <n v="2200"/>
    <s v="Cash"/>
    <n v="4400"/>
  </r>
  <r>
    <n v="4009"/>
    <x v="4"/>
    <s v="Amit"/>
    <x v="0"/>
    <x v="0"/>
    <x v="0"/>
    <n v="1"/>
    <n v="68000"/>
    <s v="Card"/>
    <n v="68000"/>
  </r>
  <r>
    <n v="4010"/>
    <x v="4"/>
    <s v="Karan"/>
    <x v="1"/>
    <x v="3"/>
    <x v="1"/>
    <n v="1"/>
    <n v="24000"/>
    <s v="UPI"/>
    <n v="24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940320-DCFB-463B-8CCA-5F1B5D0BD627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Product">
  <location ref="A1:B7" firstHeaderRow="1" firstDataRow="1" firstDataCol="1"/>
  <pivotFields count="10">
    <pivotField showAll="0"/>
    <pivotField numFmtId="14" showAll="0"/>
    <pivotField showAll="0"/>
    <pivotField showAll="0"/>
    <pivotField axis="axisRow" showAll="0" sortType="ascending">
      <items count="6">
        <item x="2"/>
        <item x="0"/>
        <item x="1"/>
        <item x="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</pivotFields>
  <rowFields count="1">
    <field x="4"/>
  </rowFields>
  <rowItems count="6">
    <i>
      <x/>
    </i>
    <i>
      <x v="3"/>
    </i>
    <i>
      <x v="4"/>
    </i>
    <i>
      <x v="2"/>
    </i>
    <i>
      <x v="1"/>
    </i>
    <i t="grand">
      <x/>
    </i>
  </rowItems>
  <colItems count="1">
    <i/>
  </colItems>
  <dataFields count="1">
    <dataField name="Sum of Revenue" fld="9" baseField="0" baseItem="0"/>
  </dataFields>
  <formats count="6">
    <format dxfId="26">
      <pivotArea type="all" dataOnly="0" outline="0" fieldPosition="0"/>
    </format>
    <format dxfId="25">
      <pivotArea outline="0" collapsedLevelsAreSubtotals="1" fieldPosition="0"/>
    </format>
    <format dxfId="24">
      <pivotArea field="4" type="button" dataOnly="0" labelOnly="1" outline="0" axis="axisRow" fieldPosition="0"/>
    </format>
    <format dxfId="23">
      <pivotArea dataOnly="0" labelOnly="1" fieldPosition="0">
        <references count="1">
          <reference field="4" count="0"/>
        </references>
      </pivotArea>
    </format>
    <format dxfId="22">
      <pivotArea dataOnly="0" labelOnly="1" grandRow="1" outline="0" fieldPosition="0"/>
    </format>
    <format dxfId="21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8D37D7-D51D-4FB6-A5CC-4FE74DAF4834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 rowHeaderCaption="City">
  <location ref="A3:B8" firstHeaderRow="1" firstDataRow="1" firstDataCol="1"/>
  <pivotFields count="10">
    <pivotField showAll="0"/>
    <pivotField numFmtId="14" showAll="0"/>
    <pivotField showAll="0"/>
    <pivotField axis="axisRow" showAll="0" sortType="descending">
      <items count="5">
        <item x="2"/>
        <item x="0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</pivotFields>
  <rowFields count="1">
    <field x="3"/>
  </rowFields>
  <rowItems count="5">
    <i>
      <x v="1"/>
    </i>
    <i>
      <x v="3"/>
    </i>
    <i>
      <x v="2"/>
    </i>
    <i>
      <x/>
    </i>
    <i t="grand">
      <x/>
    </i>
  </rowItems>
  <colItems count="1">
    <i/>
  </colItems>
  <dataFields count="1">
    <dataField name="Sum of Revenue" fld="9" baseField="0" baseItem="0"/>
  </dataFields>
  <formats count="6">
    <format dxfId="20">
      <pivotArea type="all" dataOnly="0" outline="0" fieldPosition="0"/>
    </format>
    <format dxfId="19">
      <pivotArea outline="0" collapsedLevelsAreSubtotals="1" fieldPosition="0"/>
    </format>
    <format dxfId="18">
      <pivotArea field="3" type="button" dataOnly="0" labelOnly="1" outline="0" axis="axisRow" fieldPosition="0"/>
    </format>
    <format dxfId="17">
      <pivotArea dataOnly="0" labelOnly="1" fieldPosition="0">
        <references count="1">
          <reference field="3" count="0"/>
        </references>
      </pivotArea>
    </format>
    <format dxfId="16">
      <pivotArea dataOnly="0" labelOnly="1" grandRow="1" outline="0" fieldPosition="0"/>
    </format>
    <format dxfId="15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20173F-4DDB-4707-8EF0-D40D35338461}" name="PivotTable3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 rowHeaderCaption="Category">
  <location ref="A3:B7" firstHeaderRow="1" firstDataRow="1" firstDataCol="1"/>
  <pivotFields count="10">
    <pivotField showAll="0"/>
    <pivotField numFmtId="14" showAll="0"/>
    <pivotField showAll="0"/>
    <pivotField showAll="0"/>
    <pivotField showAll="0"/>
    <pivotField axis="axisRow" showAll="0" sortType="descending">
      <items count="4">
        <item x="2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</pivotFields>
  <rowFields count="1">
    <field x="5"/>
  </rowFields>
  <rowItems count="4">
    <i>
      <x v="1"/>
    </i>
    <i>
      <x v="2"/>
    </i>
    <i>
      <x/>
    </i>
    <i t="grand">
      <x/>
    </i>
  </rowItems>
  <colItems count="1">
    <i/>
  </colItems>
  <dataFields count="1">
    <dataField name="Sum of Revenue" fld="9" baseField="0" baseItem="0"/>
  </dataFields>
  <formats count="6">
    <format dxfId="13">
      <pivotArea type="all" dataOnly="0" outline="0" fieldPosition="0"/>
    </format>
    <format dxfId="12">
      <pivotArea outline="0" collapsedLevelsAreSubtotals="1" fieldPosition="0"/>
    </format>
    <format dxfId="11">
      <pivotArea field="5" type="button" dataOnly="0" labelOnly="1" outline="0" axis="axisRow" fieldPosition="0"/>
    </format>
    <format dxfId="10">
      <pivotArea dataOnly="0" labelOnly="1" fieldPosition="0">
        <references count="1">
          <reference field="5" count="0"/>
        </references>
      </pivotArea>
    </format>
    <format dxfId="9">
      <pivotArea dataOnly="0" labelOnly="1" grandRow="1" outline="0" fieldPosition="0"/>
    </format>
    <format dxfId="8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2A7A00-6FFB-4A5C-BEB5-9D9DC09886F3}" name="PivotTable4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OrderDate">
  <location ref="A3:B9" firstHeaderRow="1" firstDataRow="1" firstDataCol="1"/>
  <pivotFields count="10">
    <pivotField showAll="0"/>
    <pivotField axis="axisRow" numFmtId="14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" fld="9" baseField="0" baseItem="0"/>
  </dataFields>
  <formats count="6">
    <format dxfId="6">
      <pivotArea type="all" dataOnly="0" outline="0" fieldPosition="0"/>
    </format>
    <format dxfId="5">
      <pivotArea outline="0" collapsedLevelsAreSubtotals="1" fieldPosition="0"/>
    </format>
    <format dxfId="4">
      <pivotArea field="1" type="button" dataOnly="0" labelOnly="1" outline="0" axis="axisRow" fieldPosition="0"/>
    </format>
    <format dxfId="3">
      <pivotArea dataOnly="0" labelOnly="1" fieldPosition="0">
        <references count="1">
          <reference field="1" count="0"/>
        </references>
      </pivotArea>
    </format>
    <format dxfId="2">
      <pivotArea dataOnly="0" labelOnly="1" grandRow="1" outline="0" fieldPosition="0"/>
    </format>
    <format dxfId="1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D34A9-D3BF-4E20-AC79-782B0C119517}">
  <dimension ref="A1:B10"/>
  <sheetViews>
    <sheetView workbookViewId="0">
      <selection activeCell="O8" sqref="O8"/>
    </sheetView>
  </sheetViews>
  <sheetFormatPr defaultRowHeight="14.4" x14ac:dyDescent="0.3"/>
  <cols>
    <col min="1" max="1" width="25.6640625" style="5" bestFit="1" customWidth="1"/>
    <col min="2" max="2" width="14.88671875" style="5" bestFit="1" customWidth="1"/>
    <col min="3" max="16384" width="8.88671875" style="5"/>
  </cols>
  <sheetData>
    <row r="1" spans="1:2" x14ac:dyDescent="0.3">
      <c r="A1" s="6" t="s">
        <v>4</v>
      </c>
      <c r="B1" s="5" t="s">
        <v>31</v>
      </c>
    </row>
    <row r="2" spans="1:2" x14ac:dyDescent="0.3">
      <c r="A2" s="5" t="s">
        <v>21</v>
      </c>
      <c r="B2" s="7">
        <v>10400</v>
      </c>
    </row>
    <row r="3" spans="1:2" x14ac:dyDescent="0.3">
      <c r="A3" s="5" t="s">
        <v>28</v>
      </c>
      <c r="B3" s="7">
        <v>16000</v>
      </c>
    </row>
    <row r="4" spans="1:2" x14ac:dyDescent="0.3">
      <c r="A4" s="5" t="s">
        <v>25</v>
      </c>
      <c r="B4" s="7">
        <v>49000</v>
      </c>
    </row>
    <row r="5" spans="1:2" x14ac:dyDescent="0.3">
      <c r="A5" s="5" t="s">
        <v>16</v>
      </c>
      <c r="B5" s="7">
        <v>92000</v>
      </c>
    </row>
    <row r="6" spans="1:2" x14ac:dyDescent="0.3">
      <c r="A6" s="5" t="s">
        <v>11</v>
      </c>
      <c r="B6" s="7">
        <v>203000</v>
      </c>
    </row>
    <row r="7" spans="1:2" x14ac:dyDescent="0.3">
      <c r="A7" s="5" t="s">
        <v>30</v>
      </c>
      <c r="B7" s="7">
        <v>370400</v>
      </c>
    </row>
    <row r="10" spans="1:2" x14ac:dyDescent="0.3">
      <c r="A10" s="4" t="s">
        <v>32</v>
      </c>
      <c r="B10" s="4" t="str">
        <f>_xlfn.XLOOKUP(MAX(B2:B6),B2:B6,A2:A6,,0)</f>
        <v>Laptop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30FCD-5099-4E0B-9847-9AC445A09EA1}">
  <dimension ref="A3:B11"/>
  <sheetViews>
    <sheetView workbookViewId="0">
      <selection activeCell="B15" sqref="B15"/>
    </sheetView>
  </sheetViews>
  <sheetFormatPr defaultRowHeight="14.4" x14ac:dyDescent="0.3"/>
  <cols>
    <col min="1" max="1" width="26.21875" style="5" bestFit="1" customWidth="1"/>
    <col min="2" max="2" width="14.88671875" style="5" bestFit="1" customWidth="1"/>
    <col min="3" max="16384" width="8.88671875" style="5"/>
  </cols>
  <sheetData>
    <row r="3" spans="1:2" x14ac:dyDescent="0.3">
      <c r="A3" s="6" t="s">
        <v>3</v>
      </c>
      <c r="B3" s="5" t="s">
        <v>31</v>
      </c>
    </row>
    <row r="4" spans="1:2" x14ac:dyDescent="0.3">
      <c r="A4" s="5" t="s">
        <v>10</v>
      </c>
      <c r="B4" s="7">
        <v>158000</v>
      </c>
    </row>
    <row r="5" spans="1:2" x14ac:dyDescent="0.3">
      <c r="A5" s="5" t="s">
        <v>15</v>
      </c>
      <c r="B5" s="7">
        <v>100000</v>
      </c>
    </row>
    <row r="6" spans="1:2" x14ac:dyDescent="0.3">
      <c r="A6" s="5" t="s">
        <v>27</v>
      </c>
      <c r="B6" s="7">
        <v>74400</v>
      </c>
    </row>
    <row r="7" spans="1:2" x14ac:dyDescent="0.3">
      <c r="A7" s="5" t="s">
        <v>20</v>
      </c>
      <c r="B7" s="7">
        <v>38000</v>
      </c>
    </row>
    <row r="8" spans="1:2" x14ac:dyDescent="0.3">
      <c r="A8" s="5" t="s">
        <v>30</v>
      </c>
      <c r="B8" s="7">
        <v>370400</v>
      </c>
    </row>
    <row r="11" spans="1:2" x14ac:dyDescent="0.3">
      <c r="A11" s="4" t="s">
        <v>33</v>
      </c>
      <c r="B11" s="4" t="str">
        <f>_xlfn.XLOOKUP(MAX(B4:B7),B4:B7,A4:A7,,0)</f>
        <v>Delhi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BB510-4AD3-4534-BDCD-05C5AACFB393}">
  <dimension ref="A3:B10"/>
  <sheetViews>
    <sheetView workbookViewId="0">
      <selection activeCell="B15" sqref="B15"/>
    </sheetView>
  </sheetViews>
  <sheetFormatPr defaultRowHeight="14.4" x14ac:dyDescent="0.3"/>
  <cols>
    <col min="1" max="1" width="27.88671875" style="5" bestFit="1" customWidth="1"/>
    <col min="2" max="2" width="14.88671875" style="5" bestFit="1" customWidth="1"/>
    <col min="3" max="16384" width="8.88671875" style="5"/>
  </cols>
  <sheetData>
    <row r="3" spans="1:2" x14ac:dyDescent="0.3">
      <c r="A3" s="6" t="s">
        <v>5</v>
      </c>
      <c r="B3" s="5" t="s">
        <v>31</v>
      </c>
    </row>
    <row r="4" spans="1:2" x14ac:dyDescent="0.3">
      <c r="A4" s="5" t="s">
        <v>12</v>
      </c>
      <c r="B4" s="7">
        <v>203000</v>
      </c>
    </row>
    <row r="5" spans="1:2" x14ac:dyDescent="0.3">
      <c r="A5" s="5" t="s">
        <v>17</v>
      </c>
      <c r="B5" s="7">
        <v>141000</v>
      </c>
    </row>
    <row r="6" spans="1:2" x14ac:dyDescent="0.3">
      <c r="A6" s="5" t="s">
        <v>22</v>
      </c>
      <c r="B6" s="7">
        <v>26400</v>
      </c>
    </row>
    <row r="7" spans="1:2" x14ac:dyDescent="0.3">
      <c r="A7" s="5" t="s">
        <v>30</v>
      </c>
      <c r="B7" s="7">
        <v>370400</v>
      </c>
    </row>
    <row r="10" spans="1:2" x14ac:dyDescent="0.3">
      <c r="A10" s="4" t="s">
        <v>34</v>
      </c>
      <c r="B10" s="4" t="str">
        <f>_xlfn.XLOOKUP(MAX(B4:B6),B4:B6,A4:A6,,0)</f>
        <v>Computers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E2352-1233-4106-80C8-6C63EEA9C082}">
  <dimension ref="A3:B12"/>
  <sheetViews>
    <sheetView workbookViewId="0">
      <selection activeCell="B19" sqref="B19"/>
    </sheetView>
  </sheetViews>
  <sheetFormatPr defaultRowHeight="14.4" x14ac:dyDescent="0.3"/>
  <cols>
    <col min="1" max="1" width="30.44140625" style="5" bestFit="1" customWidth="1"/>
    <col min="2" max="2" width="14.88671875" style="5" bestFit="1" customWidth="1"/>
    <col min="3" max="16384" width="8.88671875" style="5"/>
  </cols>
  <sheetData>
    <row r="3" spans="1:2" x14ac:dyDescent="0.3">
      <c r="A3" s="6" t="s">
        <v>1</v>
      </c>
      <c r="B3" s="5" t="s">
        <v>31</v>
      </c>
    </row>
    <row r="4" spans="1:2" x14ac:dyDescent="0.3">
      <c r="A4" s="8">
        <v>46073</v>
      </c>
      <c r="B4" s="7">
        <v>125000</v>
      </c>
    </row>
    <row r="5" spans="1:2" x14ac:dyDescent="0.3">
      <c r="A5" s="8">
        <v>46074</v>
      </c>
      <c r="B5" s="7">
        <v>31000</v>
      </c>
    </row>
    <row r="6" spans="1:2" x14ac:dyDescent="0.3">
      <c r="A6" s="8">
        <v>46075</v>
      </c>
      <c r="B6" s="7">
        <v>86000</v>
      </c>
    </row>
    <row r="7" spans="1:2" x14ac:dyDescent="0.3">
      <c r="A7" s="8">
        <v>46076</v>
      </c>
      <c r="B7" s="7">
        <v>36400</v>
      </c>
    </row>
    <row r="8" spans="1:2" x14ac:dyDescent="0.3">
      <c r="A8" s="8">
        <v>46077</v>
      </c>
      <c r="B8" s="7">
        <v>92000</v>
      </c>
    </row>
    <row r="9" spans="1:2" x14ac:dyDescent="0.3">
      <c r="A9" s="8" t="s">
        <v>30</v>
      </c>
      <c r="B9" s="7">
        <v>370400</v>
      </c>
    </row>
    <row r="12" spans="1:2" x14ac:dyDescent="0.3">
      <c r="A12" s="4" t="s">
        <v>35</v>
      </c>
      <c r="B12" s="10">
        <f>_xlfn.XLOOKUP(MAX(B4:B8),B4:B8,A4:A8,,0)</f>
        <v>46073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8B33C-009A-411C-87FE-4459195F92B0}">
  <dimension ref="A1:J11"/>
  <sheetViews>
    <sheetView tabSelected="1" workbookViewId="0">
      <selection activeCell="L13" sqref="L13"/>
    </sheetView>
  </sheetViews>
  <sheetFormatPr defaultRowHeight="14.4" x14ac:dyDescent="0.3"/>
  <cols>
    <col min="1" max="1" width="7.5546875" style="5" bestFit="1" customWidth="1"/>
    <col min="2" max="2" width="10.33203125" style="8" bestFit="1" customWidth="1"/>
    <col min="3" max="3" width="9.109375" style="5" bestFit="1" customWidth="1"/>
    <col min="4" max="4" width="9.77734375" style="5" bestFit="1" customWidth="1"/>
    <col min="5" max="5" width="11.109375" style="5" bestFit="1" customWidth="1"/>
    <col min="6" max="6" width="10.44140625" style="5" bestFit="1" customWidth="1"/>
    <col min="7" max="7" width="8.33203125" style="5" bestFit="1" customWidth="1"/>
    <col min="8" max="8" width="8.6640625" style="5" bestFit="1" customWidth="1"/>
    <col min="9" max="9" width="15.44140625" style="5" bestFit="1" customWidth="1"/>
    <col min="10" max="16384" width="8.88671875" style="5"/>
  </cols>
  <sheetData>
    <row r="1" spans="1:10" x14ac:dyDescent="0.3">
      <c r="A1" s="1" t="s">
        <v>0</v>
      </c>
      <c r="B1" s="9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29</v>
      </c>
    </row>
    <row r="2" spans="1:10" x14ac:dyDescent="0.3">
      <c r="A2" s="2">
        <v>4001</v>
      </c>
      <c r="B2" s="3">
        <v>46073</v>
      </c>
      <c r="C2" s="2" t="s">
        <v>9</v>
      </c>
      <c r="D2" s="2" t="s">
        <v>10</v>
      </c>
      <c r="E2" s="2" t="s">
        <v>11</v>
      </c>
      <c r="F2" s="2" t="s">
        <v>12</v>
      </c>
      <c r="G2" s="2">
        <v>1</v>
      </c>
      <c r="H2" s="2">
        <v>65000</v>
      </c>
      <c r="I2" s="2" t="s">
        <v>13</v>
      </c>
      <c r="J2" s="5">
        <f>G2*H2</f>
        <v>65000</v>
      </c>
    </row>
    <row r="3" spans="1:10" x14ac:dyDescent="0.3">
      <c r="A3" s="2">
        <v>4002</v>
      </c>
      <c r="B3" s="3">
        <v>46073</v>
      </c>
      <c r="C3" s="2" t="s">
        <v>14</v>
      </c>
      <c r="D3" s="2" t="s">
        <v>15</v>
      </c>
      <c r="E3" s="2" t="s">
        <v>16</v>
      </c>
      <c r="F3" s="2" t="s">
        <v>17</v>
      </c>
      <c r="G3" s="2">
        <v>2</v>
      </c>
      <c r="H3" s="2">
        <v>30000</v>
      </c>
      <c r="I3" s="2" t="s">
        <v>18</v>
      </c>
      <c r="J3" s="5">
        <f t="shared" ref="J3:J11" si="0">G3*H3</f>
        <v>60000</v>
      </c>
    </row>
    <row r="4" spans="1:10" x14ac:dyDescent="0.3">
      <c r="A4" s="2">
        <v>4003</v>
      </c>
      <c r="B4" s="3">
        <v>46074</v>
      </c>
      <c r="C4" s="2" t="s">
        <v>19</v>
      </c>
      <c r="D4" s="2" t="s">
        <v>20</v>
      </c>
      <c r="E4" s="2" t="s">
        <v>21</v>
      </c>
      <c r="F4" s="2" t="s">
        <v>22</v>
      </c>
      <c r="G4" s="2">
        <v>3</v>
      </c>
      <c r="H4" s="2">
        <v>2000</v>
      </c>
      <c r="I4" s="2" t="s">
        <v>23</v>
      </c>
      <c r="J4" s="5">
        <f t="shared" si="0"/>
        <v>6000</v>
      </c>
    </row>
    <row r="5" spans="1:10" x14ac:dyDescent="0.3">
      <c r="A5" s="2">
        <v>4004</v>
      </c>
      <c r="B5" s="3">
        <v>46074</v>
      </c>
      <c r="C5" s="2" t="s">
        <v>24</v>
      </c>
      <c r="D5" s="2" t="s">
        <v>10</v>
      </c>
      <c r="E5" s="2" t="s">
        <v>25</v>
      </c>
      <c r="F5" s="2" t="s">
        <v>17</v>
      </c>
      <c r="G5" s="2">
        <v>1</v>
      </c>
      <c r="H5" s="2">
        <v>25000</v>
      </c>
      <c r="I5" s="2" t="s">
        <v>13</v>
      </c>
      <c r="J5" s="5">
        <f t="shared" si="0"/>
        <v>25000</v>
      </c>
    </row>
    <row r="6" spans="1:10" x14ac:dyDescent="0.3">
      <c r="A6" s="2">
        <v>4005</v>
      </c>
      <c r="B6" s="3">
        <v>46075</v>
      </c>
      <c r="C6" s="2" t="s">
        <v>26</v>
      </c>
      <c r="D6" s="2" t="s">
        <v>27</v>
      </c>
      <c r="E6" s="2" t="s">
        <v>11</v>
      </c>
      <c r="F6" s="2" t="s">
        <v>12</v>
      </c>
      <c r="G6" s="2">
        <v>1</v>
      </c>
      <c r="H6" s="2">
        <v>70000</v>
      </c>
      <c r="I6" s="2" t="s">
        <v>18</v>
      </c>
      <c r="J6" s="5">
        <f t="shared" si="0"/>
        <v>70000</v>
      </c>
    </row>
    <row r="7" spans="1:10" x14ac:dyDescent="0.3">
      <c r="A7" s="2">
        <v>4006</v>
      </c>
      <c r="B7" s="3">
        <v>46075</v>
      </c>
      <c r="C7" s="2" t="s">
        <v>14</v>
      </c>
      <c r="D7" s="2" t="s">
        <v>15</v>
      </c>
      <c r="E7" s="2" t="s">
        <v>28</v>
      </c>
      <c r="F7" s="2" t="s">
        <v>22</v>
      </c>
      <c r="G7" s="2">
        <v>2</v>
      </c>
      <c r="H7" s="2">
        <v>8000</v>
      </c>
      <c r="I7" s="2" t="s">
        <v>13</v>
      </c>
      <c r="J7" s="5">
        <f t="shared" si="0"/>
        <v>16000</v>
      </c>
    </row>
    <row r="8" spans="1:10" x14ac:dyDescent="0.3">
      <c r="A8" s="2">
        <v>4007</v>
      </c>
      <c r="B8" s="3">
        <v>46076</v>
      </c>
      <c r="C8" s="2" t="s">
        <v>9</v>
      </c>
      <c r="D8" s="2" t="s">
        <v>20</v>
      </c>
      <c r="E8" s="2" t="s">
        <v>16</v>
      </c>
      <c r="F8" s="2" t="s">
        <v>17</v>
      </c>
      <c r="G8" s="2">
        <v>1</v>
      </c>
      <c r="H8" s="2">
        <v>32000</v>
      </c>
      <c r="I8" s="2" t="s">
        <v>18</v>
      </c>
      <c r="J8" s="5">
        <f t="shared" si="0"/>
        <v>32000</v>
      </c>
    </row>
    <row r="9" spans="1:10" x14ac:dyDescent="0.3">
      <c r="A9" s="2">
        <v>4008</v>
      </c>
      <c r="B9" s="3">
        <v>46076</v>
      </c>
      <c r="C9" s="2" t="s">
        <v>24</v>
      </c>
      <c r="D9" s="2" t="s">
        <v>27</v>
      </c>
      <c r="E9" s="2" t="s">
        <v>21</v>
      </c>
      <c r="F9" s="2" t="s">
        <v>22</v>
      </c>
      <c r="G9" s="2">
        <v>2</v>
      </c>
      <c r="H9" s="2">
        <v>2200</v>
      </c>
      <c r="I9" s="2" t="s">
        <v>23</v>
      </c>
      <c r="J9" s="5">
        <f t="shared" si="0"/>
        <v>4400</v>
      </c>
    </row>
    <row r="10" spans="1:10" x14ac:dyDescent="0.3">
      <c r="A10" s="2">
        <v>4009</v>
      </c>
      <c r="B10" s="3">
        <v>46077</v>
      </c>
      <c r="C10" s="2" t="s">
        <v>19</v>
      </c>
      <c r="D10" s="2" t="s">
        <v>10</v>
      </c>
      <c r="E10" s="2" t="s">
        <v>11</v>
      </c>
      <c r="F10" s="2" t="s">
        <v>12</v>
      </c>
      <c r="G10" s="2">
        <v>1</v>
      </c>
      <c r="H10" s="2">
        <v>68000</v>
      </c>
      <c r="I10" s="2" t="s">
        <v>13</v>
      </c>
      <c r="J10" s="5">
        <f t="shared" si="0"/>
        <v>68000</v>
      </c>
    </row>
    <row r="11" spans="1:10" x14ac:dyDescent="0.3">
      <c r="A11" s="2">
        <v>4010</v>
      </c>
      <c r="B11" s="3">
        <v>46077</v>
      </c>
      <c r="C11" s="2" t="s">
        <v>26</v>
      </c>
      <c r="D11" s="2" t="s">
        <v>15</v>
      </c>
      <c r="E11" s="2" t="s">
        <v>25</v>
      </c>
      <c r="F11" s="2" t="s">
        <v>17</v>
      </c>
      <c r="G11" s="2">
        <v>1</v>
      </c>
      <c r="H11" s="2">
        <v>24000</v>
      </c>
      <c r="I11" s="2" t="s">
        <v>18</v>
      </c>
      <c r="J11" s="5">
        <f t="shared" si="0"/>
        <v>24000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Revenue by Product</vt:lpstr>
      <vt:lpstr>Revenue by City</vt:lpstr>
      <vt:lpstr>Revenue by Category</vt:lpstr>
      <vt:lpstr>Revenue by Date</vt:lpstr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swaroopa balgari</dc:creator>
  <cp:lastModifiedBy>swaroopa balgari</cp:lastModifiedBy>
  <dcterms:created xsi:type="dcterms:W3CDTF">2026-03-21T08:47:25Z</dcterms:created>
  <dcterms:modified xsi:type="dcterms:W3CDTF">2026-03-21T09:23:01Z</dcterms:modified>
</cp:coreProperties>
</file>